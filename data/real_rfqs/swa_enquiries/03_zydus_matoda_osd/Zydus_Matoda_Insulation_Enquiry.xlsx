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8_{27753F04-A597-47FD-91CC-A38C2ED5F2E6}" xr6:coauthVersionLast="47" xr6:coauthVersionMax="47" xr10:uidLastSave="{00000000-0000-0000-0000-000000000000}"/>
  <bookViews>
    <workbookView xWindow="-110" yWindow="-110" windowWidth="19420" windowHeight="10300" activeTab="1" xr2:uid="{730EB707-8BA1-460E-90CA-DB7EDCD9B552}"/>
  </bookViews>
  <sheets>
    <sheet name="BOQ" sheetId="1" r:id="rId1"/>
    <sheet name="COMPLIAN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1" i="2" l="1"/>
  <c r="D50" i="2"/>
  <c r="D49" i="2"/>
  <c r="D48" i="2"/>
  <c r="A40" i="2"/>
  <c r="A41" i="2" s="1"/>
  <c r="A42" i="2" s="1"/>
  <c r="A43" i="2" s="1"/>
  <c r="A44" i="2" s="1"/>
  <c r="A39" i="2"/>
  <c r="D35" i="2"/>
  <c r="D33" i="2"/>
  <c r="D32" i="2"/>
  <c r="D31" i="2"/>
  <c r="D30" i="2"/>
  <c r="D29" i="2"/>
  <c r="D28" i="2"/>
  <c r="D27" i="2"/>
  <c r="D26" i="2"/>
  <c r="A26" i="2"/>
  <c r="A27" i="2" s="1"/>
  <c r="A28" i="2" s="1"/>
  <c r="A29" i="2" s="1"/>
  <c r="A30" i="2" s="1"/>
  <c r="A31" i="2" s="1"/>
  <c r="A32" i="2" s="1"/>
  <c r="A33" i="2" s="1"/>
  <c r="A34" i="2" s="1"/>
  <c r="A35" i="2" s="1"/>
  <c r="D51" i="1"/>
  <c r="D48" i="1"/>
  <c r="D35" i="1"/>
  <c r="D33" i="1"/>
  <c r="D32" i="1"/>
  <c r="D31" i="1"/>
  <c r="D30" i="1"/>
  <c r="D29" i="1"/>
  <c r="D28" i="1"/>
  <c r="D26" i="1"/>
  <c r="D50" i="1"/>
  <c r="D49" i="1"/>
  <c r="A39" i="1"/>
  <c r="A40" i="1" s="1"/>
  <c r="A41" i="1" s="1"/>
  <c r="A42" i="1" s="1"/>
  <c r="A43" i="1" s="1"/>
  <c r="A44" i="1" s="1"/>
  <c r="D27" i="1"/>
  <c r="A26" i="1"/>
  <c r="A27" i="1" s="1"/>
  <c r="A28" i="1" s="1"/>
  <c r="A29" i="1" s="1"/>
  <c r="A30" i="1" s="1"/>
  <c r="A31" i="1" s="1"/>
  <c r="A32" i="1" s="1"/>
  <c r="A33" i="1" s="1"/>
  <c r="A34" i="1" s="1"/>
  <c r="A35" i="1" s="1"/>
</calcChain>
</file>

<file path=xl/sharedStrings.xml><?xml version="1.0" encoding="utf-8"?>
<sst xmlns="http://schemas.openxmlformats.org/spreadsheetml/2006/main" count="241" uniqueCount="52">
  <si>
    <t>SR. NO.</t>
  </si>
  <si>
    <t>DESCRIPTION</t>
  </si>
  <si>
    <t>UNIT</t>
  </si>
  <si>
    <t>QUANTITY</t>
  </si>
  <si>
    <t>C</t>
  </si>
  <si>
    <t>THERMAL INSULATION</t>
  </si>
  <si>
    <t>19 mm thick insulation for supply air ducts</t>
  </si>
  <si>
    <t>Sqm.</t>
  </si>
  <si>
    <t>13 mm thick insulation for return / exhaust air ducts</t>
  </si>
  <si>
    <t>25 mm thick for TFA duct</t>
  </si>
  <si>
    <t>rate for "0" to be Provided</t>
  </si>
  <si>
    <t>Remarks</t>
  </si>
  <si>
    <t>A</t>
  </si>
  <si>
    <t xml:space="preserve">Supply, Installation, Testing  of MS 'C' class piping for connection with AHU                                 </t>
  </si>
  <si>
    <t>15MM</t>
  </si>
  <si>
    <t>RMT</t>
  </si>
  <si>
    <t>20MM</t>
  </si>
  <si>
    <t>25MM</t>
  </si>
  <si>
    <t>32MM</t>
  </si>
  <si>
    <t>40MM</t>
  </si>
  <si>
    <t>50MM</t>
  </si>
  <si>
    <t>65MM</t>
  </si>
  <si>
    <t>80MM</t>
  </si>
  <si>
    <t>100MM</t>
  </si>
  <si>
    <t>125MM</t>
  </si>
  <si>
    <t>150MM</t>
  </si>
  <si>
    <t>Drain piping with 19mm thick insulation from AHU to drain trap including U trap and core cutting</t>
  </si>
  <si>
    <t>32mm OD</t>
  </si>
  <si>
    <t>40mm OD</t>
  </si>
  <si>
    <t>50mm OD</t>
  </si>
  <si>
    <t>65MM OD</t>
  </si>
  <si>
    <t>80MM OD</t>
  </si>
  <si>
    <t>15mm OD</t>
  </si>
  <si>
    <t>25mm OD</t>
  </si>
  <si>
    <t>19MM</t>
  </si>
  <si>
    <t>B</t>
  </si>
  <si>
    <t>D</t>
  </si>
  <si>
    <t>R0</t>
  </si>
  <si>
    <t>Option 2</t>
  </si>
  <si>
    <t>FM Approved
Colour GC Finished Nitrile rubber insulation</t>
  </si>
  <si>
    <t>FM Approved
Al Finished XLPE insulation</t>
  </si>
  <si>
    <t>FM Approved
Al Finished Nitrile rubber insulation</t>
  </si>
  <si>
    <t>FM Approved
Black GC faced Nitrile rubber insulation</t>
  </si>
  <si>
    <t>Thermal insulation of Ducts with low fire propagation Class O &amp; UL94 (V0&amp;HB) approved, Closed Cell Nitrile Rubber with min k value of 0.035 w/mK @ 0 Deg C. Insulation to be approved by local fire authorities
Insulation to be separately covered with Grey colored 400 microns/380 gsm polymeric material reinforced with scrim with μ value of 20,000  and UV resistance as per ISO 4892-2 Method A (1000 Hrs test) and mechanical strength &gt;5 MPa as per ASTM D638.*
Application to be done in square box method. Min 2 day installation training to be conducted by manufacturer's person only before work commencement.(refer checklist in master specifications file).Adhesive to be used at below 80% RH site condition and should be IGBC compliant and specially formulated for ducting insulation by OEM (Pidilite SR 505/ArmaFlex Duct Seal).
For project compliance, each supplied lot to be tested for dimensions,i.e thickness(vernier caliper) , width and length(Measuring tape) by contracting team under observation of PMC and End user,after whose approval material to be applied. Random lab test for supplied materials to be conducted by user for the supplied product for K value, density, and Class 0 certifications at global/nabl accredited labs. Cost for the same to be borne by the main contracting agency.(refer checklist in master specifications file).</t>
  </si>
  <si>
    <t>Option 3</t>
  </si>
  <si>
    <t>Thermal insulation of CHW Piping’s with low fire propagation Class O &amp; UL94 (V0&amp;HB) approved, Closed Cell Nitrile Rubber with min k value of 0.035 w/mK @ 0 Deg C. Insulation to be approved by local fire authorities
Insulation to be separately covered with Grey coloured 400 microns/380 gsm polymeric material reinforced with scrim with μ value of 20,000  and UV resistance as per ISO 4892-2 Method A (1000 Hrs test) and mechanical strength &gt;5 MPa as per ASTM D638.*
Min 2 day installation training to be conducted by manufacturer's person only before work commencement.(refer checklist in master specifications file).Adhesive to be used at below 80% RH site condition and should be IGBC compliant and specially formulated for piping insulation by OEM (Pidilite SR 998/ArmaFlex Pipe Seal).
For project compliance, each supplied lot to be tested for dimensions,i.e thickness(vernier caliper) , width and length(Measuring tape) by contracting team under observation of PMC and End user,after whose approval material to be applied. Random lab test for supplied materials to be conducted by user for the supplied product for K value, density, and Class 0 certifications at global/nabl accredited labs. Cost for the same to be borne by the main contracting agency.(refer checklist in master specifications file).</t>
  </si>
  <si>
    <r>
      <t xml:space="preserve">Thermal insulation of CHW Pipings with low fire propagation Class O &amp; UL94 (V0&amp;HB) approved, Closed Cell Nitrile Rubber with min k value of 0.035 w/mK @ 0 Deg C. Insulation to be approved by local fire authorities
Insulation to be separately covered with Class 0 approved, 350 microns thick Non Metallic cladding of silver finish. For UV resistance it must be with a special UV protection as per ISO 4892. For durability,tensile and puncture resistance to be &gt;50 Mpa and &gt;200 N respectively.*
Min 2 day installation training to be conducted by manufacturer's person only before work commencement.(refer checklist in master specifications file).Adhesive to be used at below 80% RH site condition and should be IGBC compliant and specially formulated for piping insulation by OEM (Pidilite SR 998/ArmaFlex Pipe Seal).
For project compliance, each supplied lot to be tested for dimensions,i.e thickness(vernier caliper) , width and length(Measuring tape) by contracting team under observation of PMC and End user,after whose approval material to be applied. Random lab test for supplied materials to be conducted by user for the supplied product for K value, density, and Class 0 certifications at global/nabl accredited labs. Cost for the same to be borne by the main contracting agency.(refer checklist in master specifications file).
</t>
    </r>
    <r>
      <rPr>
        <b/>
        <sz val="12"/>
        <color theme="1"/>
        <rFont val="Calibri"/>
        <family val="2"/>
      </rPr>
      <t xml:space="preserve">
</t>
    </r>
  </si>
  <si>
    <t xml:space="preserve">Silver Cladding for Utility header </t>
  </si>
  <si>
    <t>FM Approved
 DURA FOIL FACED Nitrile rubber insulation</t>
  </si>
  <si>
    <t>COMPLIANCE</t>
  </si>
  <si>
    <r>
      <t>Supply, installation, testing and Commissioning of</t>
    </r>
    <r>
      <rPr>
        <b/>
        <sz val="12"/>
        <rFont val="Calibri"/>
        <family val="2"/>
      </rPr>
      <t xml:space="preserve"> Thermal insulation</t>
    </r>
    <r>
      <rPr>
        <sz val="12"/>
        <rFont val="Calibri"/>
        <family val="2"/>
      </rPr>
      <t xml:space="preserve"> with Class "O" elastomeric nitrile rubber (FM approved) shall be covered with mechanical protecting with Pre laminated AL foil which should not have any fiber erosion while cutting, applying and usage </t>
    </r>
    <r>
      <rPr>
        <b/>
        <sz val="12"/>
        <rFont val="Calibri"/>
        <family val="2"/>
      </rPr>
      <t>(Factory Fabricated section)</t>
    </r>
    <r>
      <rPr>
        <sz val="12"/>
        <rFont val="Calibri"/>
        <family val="2"/>
      </rPr>
      <t xml:space="preserve"> on  ducts as per the  tender specifications: 
</t>
    </r>
    <r>
      <rPr>
        <b/>
        <sz val="12"/>
        <rFont val="Calibri"/>
        <family val="2"/>
      </rPr>
      <t xml:space="preserve">1) Vendor shall provide the technical calculation for thickness 
</t>
    </r>
    <r>
      <rPr>
        <sz val="12"/>
        <rFont val="Calibri"/>
        <family val="2"/>
      </rPr>
      <t xml:space="preserve">
Note: Wastage allowance is maximum 5%.       </t>
    </r>
  </si>
  <si>
    <r>
      <rPr>
        <b/>
        <u/>
        <sz val="12"/>
        <rFont val="Calibri"/>
        <family val="2"/>
      </rPr>
      <t xml:space="preserve">Optional </t>
    </r>
    <r>
      <rPr>
        <sz val="12"/>
        <rFont val="Calibri"/>
        <family val="2"/>
      </rPr>
      <t xml:space="preserve">
Supply, installation, testing and Commissioning of</t>
    </r>
    <r>
      <rPr>
        <b/>
        <sz val="12"/>
        <rFont val="Calibri"/>
        <family val="2"/>
      </rPr>
      <t xml:space="preserve"> Thermal insulation</t>
    </r>
    <r>
      <rPr>
        <sz val="12"/>
        <rFont val="Calibri"/>
        <family val="2"/>
      </rPr>
      <t xml:space="preserve"> with Class "O" physically cross-linked XLPE insulation (FM approved) with factory applied reinforced aluminium foil  adhered to the surface cleaned HVAC ducts with  SR 998  adhesive on  ducts as per the  tender specifications: 
</t>
    </r>
    <r>
      <rPr>
        <b/>
        <sz val="12"/>
        <rFont val="Calibri"/>
        <family val="2"/>
      </rPr>
      <t xml:space="preserve">1) Vendor shall provide the technical calculation for thickness 
</t>
    </r>
    <r>
      <rPr>
        <sz val="12"/>
        <rFont val="Calibri"/>
        <family val="2"/>
      </rPr>
      <t xml:space="preserve">
Note: Wastage allowance is maximum 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</si>
</sst>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8" x14ac:knownFonts="1">
    <font>
      <sz val="11"/>
      <color theme="1"/>
      <name val="Aptos Narrow"/>
      <family val="2"/>
      <scheme val="minor"/>
    </font>
    <font>
      <sz val="10"/>
      <name val="Arial"/>
      <family val="2"/>
    </font>
    <font>
      <b/>
      <sz val="12"/>
      <name val="Calibri"/>
      <family val="2"/>
    </font>
    <font>
      <sz val="12"/>
      <color theme="1"/>
      <name val="Calibri"/>
      <family val="2"/>
    </font>
    <font>
      <sz val="12"/>
      <name val="Calibri"/>
      <family val="2"/>
    </font>
    <font>
      <b/>
      <sz val="12"/>
      <color theme="1"/>
      <name val="Calibri"/>
      <family val="2"/>
    </font>
    <font>
      <sz val="12"/>
      <color rgb="FFFF0000"/>
      <name val="Calibri"/>
      <family val="2"/>
    </font>
    <font>
      <b/>
      <u/>
      <sz val="12"/>
      <name val="Calibri"/>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1" fillId="0" borderId="0"/>
  </cellStyleXfs>
  <cellXfs count="54">
    <xf numFmtId="0" fontId="0" fillId="0" borderId="0" xfId="0"/>
    <xf numFmtId="2" fontId="2" fillId="2" borderId="1" xfId="1" applyNumberFormat="1" applyFont="1" applyFill="1" applyBorder="1" applyAlignment="1">
      <alignment horizontal="center" vertical="center" wrapText="1"/>
    </xf>
    <xf numFmtId="0" fontId="2" fillId="2" borderId="1" xfId="1" applyFont="1" applyFill="1" applyBorder="1" applyAlignment="1">
      <alignment horizontal="left"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left"/>
    </xf>
    <xf numFmtId="0" fontId="3" fillId="0" borderId="2" xfId="0" applyFont="1" applyBorder="1" applyAlignment="1">
      <alignment horizontal="center"/>
    </xf>
    <xf numFmtId="0" fontId="3" fillId="0" borderId="1" xfId="0" applyFont="1" applyBorder="1" applyAlignment="1">
      <alignment horizontal="left" wrapText="1"/>
    </xf>
    <xf numFmtId="2" fontId="2" fillId="3" borderId="1" xfId="2" applyNumberFormat="1" applyFont="1" applyFill="1" applyBorder="1" applyAlignment="1" applyProtection="1">
      <alignment horizontal="center" vertical="center" wrapText="1"/>
    </xf>
    <xf numFmtId="0" fontId="2" fillId="3" borderId="1" xfId="1" applyFont="1" applyFill="1" applyBorder="1" applyAlignment="1">
      <alignment horizontal="left" vertical="center" wrapText="1"/>
    </xf>
    <xf numFmtId="0" fontId="4" fillId="3" borderId="1" xfId="1" applyFont="1" applyFill="1" applyBorder="1" applyAlignment="1">
      <alignment horizontal="center" vertical="center" wrapText="1"/>
    </xf>
    <xf numFmtId="0" fontId="4" fillId="3" borderId="2" xfId="1"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4" fillId="0" borderId="1" xfId="3" applyFont="1" applyBorder="1" applyAlignment="1">
      <alignment horizontal="left" vertical="center" wrapText="1"/>
    </xf>
    <xf numFmtId="0" fontId="4" fillId="0" borderId="1" xfId="1" applyFont="1" applyBorder="1" applyAlignment="1">
      <alignment horizontal="center" vertical="center" wrapText="1"/>
    </xf>
    <xf numFmtId="0" fontId="4" fillId="4" borderId="2" xfId="1"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2" applyNumberFormat="1" applyFont="1" applyFill="1" applyBorder="1" applyAlignment="1" applyProtection="1">
      <alignment horizontal="left" wrapText="1"/>
    </xf>
    <xf numFmtId="0" fontId="6" fillId="0" borderId="2" xfId="0"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1" fontId="2" fillId="0" borderId="1" xfId="3" applyNumberFormat="1" applyFont="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1" fontId="4" fillId="0" borderId="1" xfId="3" applyNumberFormat="1"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3" fillId="4" borderId="1" xfId="2" applyNumberFormat="1" applyFont="1" applyFill="1" applyBorder="1" applyAlignment="1" applyProtection="1">
      <alignment horizontal="center" vertical="center" wrapText="1"/>
    </xf>
    <xf numFmtId="0" fontId="5" fillId="4" borderId="1" xfId="2" applyNumberFormat="1" applyFont="1" applyFill="1" applyBorder="1" applyAlignment="1" applyProtection="1">
      <alignment horizontal="left" vertical="center" wrapText="1"/>
    </xf>
    <xf numFmtId="0" fontId="3" fillId="0" borderId="1" xfId="0" applyFont="1" applyBorder="1" applyAlignment="1">
      <alignment horizontal="left" vertical="center"/>
    </xf>
    <xf numFmtId="0" fontId="5" fillId="2" borderId="1" xfId="0" applyFont="1" applyFill="1" applyBorder="1" applyAlignment="1">
      <alignment horizontal="left"/>
    </xf>
    <xf numFmtId="0" fontId="3" fillId="4" borderId="1" xfId="2" applyNumberFormat="1" applyFont="1" applyFill="1" applyBorder="1" applyAlignment="1" applyProtection="1">
      <alignment horizontal="left" vertical="top" wrapText="1"/>
    </xf>
    <xf numFmtId="0" fontId="2" fillId="2" borderId="2" xfId="1" applyFont="1" applyFill="1" applyBorder="1" applyAlignment="1">
      <alignment horizontal="left" vertical="center" wrapText="1"/>
    </xf>
    <xf numFmtId="0" fontId="3" fillId="0" borderId="2" xfId="0" applyFont="1" applyBorder="1" applyAlignment="1">
      <alignment horizontal="left"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5" fillId="4" borderId="2" xfId="2" applyNumberFormat="1" applyFont="1" applyFill="1" applyBorder="1" applyAlignment="1" applyProtection="1">
      <alignment horizontal="left" vertical="center" wrapText="1"/>
    </xf>
    <xf numFmtId="0" fontId="3" fillId="0" borderId="2" xfId="0" applyFont="1" applyBorder="1" applyAlignment="1">
      <alignment horizontal="left" vertical="center"/>
    </xf>
    <xf numFmtId="0" fontId="3" fillId="0" borderId="0" xfId="0" applyFont="1"/>
    <xf numFmtId="0" fontId="3" fillId="0" borderId="1" xfId="0" applyFont="1" applyBorder="1"/>
    <xf numFmtId="0" fontId="4" fillId="0" borderId="1" xfId="3" applyFont="1" applyBorder="1" applyAlignment="1">
      <alignment vertical="center" wrapText="1"/>
    </xf>
    <xf numFmtId="0" fontId="3" fillId="2" borderId="0" xfId="0" applyFont="1" applyFill="1" applyAlignment="1">
      <alignment horizontal="center" vertical="center" wrapText="1"/>
    </xf>
    <xf numFmtId="0" fontId="3" fillId="4" borderId="2" xfId="2" applyNumberFormat="1" applyFont="1" applyFill="1" applyBorder="1" applyAlignment="1" applyProtection="1">
      <alignment horizontal="center" vertical="center" wrapText="1"/>
    </xf>
    <xf numFmtId="0" fontId="3" fillId="0" borderId="2" xfId="0" applyFont="1" applyBorder="1" applyAlignment="1">
      <alignment horizontal="center" vertical="center"/>
    </xf>
    <xf numFmtId="0" fontId="3" fillId="2" borderId="1" xfId="0" applyFont="1" applyFill="1" applyBorder="1" applyAlignment="1">
      <alignment horizontal="center" vertical="center" wrapText="1"/>
    </xf>
    <xf numFmtId="0" fontId="2" fillId="2" borderId="1" xfId="1" applyFont="1" applyFill="1" applyBorder="1" applyAlignment="1">
      <alignment horizontal="left" wrapText="1"/>
    </xf>
    <xf numFmtId="0" fontId="2" fillId="3" borderId="1" xfId="1" applyFont="1" applyFill="1" applyBorder="1" applyAlignment="1">
      <alignment horizontal="left" wrapText="1"/>
    </xf>
    <xf numFmtId="0" fontId="4" fillId="0" borderId="1" xfId="3" applyFont="1" applyBorder="1" applyAlignment="1">
      <alignment horizontal="left" wrapText="1"/>
    </xf>
    <xf numFmtId="0" fontId="4" fillId="4" borderId="1" xfId="0" applyFont="1" applyFill="1" applyBorder="1" applyAlignment="1">
      <alignment horizontal="left" wrapText="1"/>
    </xf>
    <xf numFmtId="0" fontId="4" fillId="0" borderId="1" xfId="0" applyFont="1" applyBorder="1" applyAlignment="1">
      <alignment horizontal="left" wrapText="1"/>
    </xf>
    <xf numFmtId="0" fontId="3" fillId="4" borderId="1" xfId="2" applyNumberFormat="1" applyFont="1" applyFill="1" applyBorder="1" applyAlignment="1" applyProtection="1">
      <alignment horizontal="left" wrapText="1"/>
    </xf>
  </cellXfs>
  <cellStyles count="4">
    <cellStyle name="Comma 2" xfId="2" xr:uid="{489FC606-8F66-4859-91C8-9F60A1BDBF5A}"/>
    <cellStyle name="Normal" xfId="0" builtinId="0"/>
    <cellStyle name="Normal 2 3" xfId="1" xr:uid="{FC491A1A-A5E8-4450-99C3-4CA04DF170B1}"/>
    <cellStyle name="Normal 3" xfId="3" xr:uid="{769F80AE-B870-4B89-B8A3-91C1449D5C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4</xdr:col>
      <xdr:colOff>3973284</xdr:colOff>
      <xdr:row>15</xdr:row>
      <xdr:rowOff>0</xdr:rowOff>
    </xdr:from>
    <xdr:to>
      <xdr:col>9</xdr:col>
      <xdr:colOff>585106</xdr:colOff>
      <xdr:row>15</xdr:row>
      <xdr:rowOff>2217965</xdr:rowOff>
    </xdr:to>
    <xdr:pic>
      <xdr:nvPicPr>
        <xdr:cNvPr id="3" name="Picture 9">
          <a:extLst>
            <a:ext uri="{FF2B5EF4-FFF2-40B4-BE49-F238E27FC236}">
              <a16:creationId xmlns:a16="http://schemas.microsoft.com/office/drawing/2014/main" id="{48C70E13-45C8-F6A3-3F63-AD739AD1A7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47963" y="5265964"/>
          <a:ext cx="3034393" cy="2217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xdr:colOff>
      <xdr:row>22</xdr:row>
      <xdr:rowOff>0</xdr:rowOff>
    </xdr:from>
    <xdr:to>
      <xdr:col>10</xdr:col>
      <xdr:colOff>103908</xdr:colOff>
      <xdr:row>22</xdr:row>
      <xdr:rowOff>2961409</xdr:rowOff>
    </xdr:to>
    <xdr:pic>
      <xdr:nvPicPr>
        <xdr:cNvPr id="4" name="Picture 4">
          <a:extLst>
            <a:ext uri="{FF2B5EF4-FFF2-40B4-BE49-F238E27FC236}">
              <a16:creationId xmlns:a16="http://schemas.microsoft.com/office/drawing/2014/main" id="{7358CFC1-B507-9AF4-FF84-3ECE7E45EF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03681" y="8832273"/>
          <a:ext cx="3134591" cy="2961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190500</xdr:colOff>
      <xdr:row>45</xdr:row>
      <xdr:rowOff>0</xdr:rowOff>
    </xdr:from>
    <xdr:to>
      <xdr:col>11</xdr:col>
      <xdr:colOff>28575</xdr:colOff>
      <xdr:row>46</xdr:row>
      <xdr:rowOff>95250</xdr:rowOff>
    </xdr:to>
    <xdr:pic>
      <xdr:nvPicPr>
        <xdr:cNvPr id="5" name="Picture 6">
          <a:extLst>
            <a:ext uri="{FF2B5EF4-FFF2-40B4-BE49-F238E27FC236}">
              <a16:creationId xmlns:a16="http://schemas.microsoft.com/office/drawing/2014/main" id="{8D7AAC75-84DC-C581-934D-D94D8FB1F7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452273" y="16781318"/>
          <a:ext cx="3474893" cy="3299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111330</xdr:colOff>
      <xdr:row>14</xdr:row>
      <xdr:rowOff>173182</xdr:rowOff>
    </xdr:from>
    <xdr:to>
      <xdr:col>14</xdr:col>
      <xdr:colOff>567789</xdr:colOff>
      <xdr:row>15</xdr:row>
      <xdr:rowOff>2069029</xdr:rowOff>
    </xdr:to>
    <xdr:pic>
      <xdr:nvPicPr>
        <xdr:cNvPr id="2" name="Picture 9">
          <a:extLst>
            <a:ext uri="{FF2B5EF4-FFF2-40B4-BE49-F238E27FC236}">
              <a16:creationId xmlns:a16="http://schemas.microsoft.com/office/drawing/2014/main" id="{7174F599-4B77-4C62-B96B-FFE034EE7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66375" y="4953000"/>
          <a:ext cx="5305550" cy="2103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173182</xdr:colOff>
      <xdr:row>22</xdr:row>
      <xdr:rowOff>0</xdr:rowOff>
    </xdr:from>
    <xdr:to>
      <xdr:col>15</xdr:col>
      <xdr:colOff>155863</xdr:colOff>
      <xdr:row>22</xdr:row>
      <xdr:rowOff>2799484</xdr:rowOff>
    </xdr:to>
    <xdr:pic>
      <xdr:nvPicPr>
        <xdr:cNvPr id="3" name="Picture 4">
          <a:extLst>
            <a:ext uri="{FF2B5EF4-FFF2-40B4-BE49-F238E27FC236}">
              <a16:creationId xmlns:a16="http://schemas.microsoft.com/office/drawing/2014/main" id="{070DE485-15A8-408D-885B-BFD7C9327D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28227" y="8347364"/>
          <a:ext cx="5437909" cy="2799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259773</xdr:colOff>
      <xdr:row>44</xdr:row>
      <xdr:rowOff>190499</xdr:rowOff>
    </xdr:from>
    <xdr:to>
      <xdr:col>15</xdr:col>
      <xdr:colOff>582756</xdr:colOff>
      <xdr:row>46</xdr:row>
      <xdr:rowOff>77931</xdr:rowOff>
    </xdr:to>
    <xdr:pic>
      <xdr:nvPicPr>
        <xdr:cNvPr id="4" name="Picture 6">
          <a:extLst>
            <a:ext uri="{FF2B5EF4-FFF2-40B4-BE49-F238E27FC236}">
              <a16:creationId xmlns:a16="http://schemas.microsoft.com/office/drawing/2014/main" id="{A4A0B0E7-E2A8-4BDB-AD01-3B3C0FE79B1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114818" y="15880772"/>
          <a:ext cx="5778211" cy="3299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171E-8973-4F5A-9D74-827311121992}">
  <dimension ref="A1:E52"/>
  <sheetViews>
    <sheetView topLeftCell="B1" zoomScale="70" zoomScaleNormal="70" workbookViewId="0">
      <selection activeCell="B4" sqref="B4"/>
    </sheetView>
  </sheetViews>
  <sheetFormatPr defaultColWidth="9.1796875" defaultRowHeight="15.5" x14ac:dyDescent="0.35"/>
  <cols>
    <col min="1" max="1" width="9.1796875" style="21"/>
    <col min="2" max="2" width="155.54296875" style="22" customWidth="1"/>
    <col min="3" max="3" width="9.1796875" style="21"/>
    <col min="4" max="4" width="10.7265625" style="21" customWidth="1"/>
    <col min="5" max="5" width="59.54296875" style="22" customWidth="1"/>
    <col min="6" max="6" width="9.1796875" style="41" customWidth="1"/>
    <col min="7" max="16384" width="9.1796875" style="41"/>
  </cols>
  <sheetData>
    <row r="1" spans="1:5" x14ac:dyDescent="0.35">
      <c r="A1" s="1" t="s">
        <v>0</v>
      </c>
      <c r="B1" s="2" t="s">
        <v>1</v>
      </c>
      <c r="C1" s="3" t="s">
        <v>2</v>
      </c>
      <c r="D1" s="4" t="s">
        <v>3</v>
      </c>
      <c r="E1" s="2" t="s">
        <v>11</v>
      </c>
    </row>
    <row r="2" spans="1:5" x14ac:dyDescent="0.35">
      <c r="A2" s="5"/>
      <c r="B2" s="6"/>
      <c r="C2" s="5"/>
      <c r="D2" s="7"/>
      <c r="E2" s="8"/>
    </row>
    <row r="3" spans="1:5" x14ac:dyDescent="0.35">
      <c r="A3" s="9" t="s">
        <v>12</v>
      </c>
      <c r="B3" s="10" t="s">
        <v>5</v>
      </c>
      <c r="C3" s="11"/>
      <c r="D3" s="12"/>
      <c r="E3" s="8"/>
    </row>
    <row r="4" spans="1:5" ht="108.5" x14ac:dyDescent="0.35">
      <c r="A4" s="13">
        <v>1</v>
      </c>
      <c r="B4" s="43" t="s">
        <v>50</v>
      </c>
      <c r="C4" s="15"/>
      <c r="D4" s="16"/>
      <c r="E4" s="47" t="s">
        <v>41</v>
      </c>
    </row>
    <row r="5" spans="1:5" x14ac:dyDescent="0.35">
      <c r="A5" s="17">
        <v>1.1000000000000001</v>
      </c>
      <c r="B5" s="43" t="s">
        <v>6</v>
      </c>
      <c r="C5" s="15" t="s">
        <v>7</v>
      </c>
      <c r="D5" s="16">
        <v>32500</v>
      </c>
      <c r="E5" s="18"/>
    </row>
    <row r="6" spans="1:5" x14ac:dyDescent="0.35">
      <c r="A6" s="17">
        <v>1.2</v>
      </c>
      <c r="B6" s="43" t="s">
        <v>8</v>
      </c>
      <c r="C6" s="15" t="s">
        <v>7</v>
      </c>
      <c r="D6" s="16">
        <v>32500</v>
      </c>
      <c r="E6" s="18"/>
    </row>
    <row r="7" spans="1:5" x14ac:dyDescent="0.35">
      <c r="A7" s="17">
        <v>1.3</v>
      </c>
      <c r="B7" s="14" t="s">
        <v>9</v>
      </c>
      <c r="C7" s="15" t="s">
        <v>7</v>
      </c>
      <c r="D7" s="16">
        <v>0</v>
      </c>
      <c r="E7" s="18" t="s">
        <v>10</v>
      </c>
    </row>
    <row r="8" spans="1:5" x14ac:dyDescent="0.35">
      <c r="A8" s="5"/>
      <c r="B8" s="6"/>
      <c r="C8" s="5"/>
      <c r="D8" s="7"/>
      <c r="E8" s="18"/>
    </row>
    <row r="9" spans="1:5" x14ac:dyDescent="0.35">
      <c r="A9" s="5"/>
      <c r="B9" s="33" t="s">
        <v>38</v>
      </c>
      <c r="C9" s="5"/>
      <c r="D9" s="7"/>
      <c r="E9" s="18"/>
    </row>
    <row r="10" spans="1:5" ht="108.5" x14ac:dyDescent="0.35">
      <c r="A10" s="5"/>
      <c r="B10" s="43" t="s">
        <v>51</v>
      </c>
      <c r="C10" s="5"/>
      <c r="D10" s="7"/>
      <c r="E10" s="47" t="s">
        <v>40</v>
      </c>
    </row>
    <row r="11" spans="1:5" x14ac:dyDescent="0.35">
      <c r="A11" s="5"/>
      <c r="B11" s="43" t="s">
        <v>6</v>
      </c>
      <c r="C11" s="15" t="s">
        <v>7</v>
      </c>
      <c r="D11" s="16">
        <v>32500</v>
      </c>
      <c r="E11" s="18"/>
    </row>
    <row r="12" spans="1:5" x14ac:dyDescent="0.35">
      <c r="A12" s="5"/>
      <c r="B12" s="43" t="s">
        <v>8</v>
      </c>
      <c r="C12" s="15" t="s">
        <v>7</v>
      </c>
      <c r="D12" s="16">
        <v>32500</v>
      </c>
      <c r="E12" s="18"/>
    </row>
    <row r="13" spans="1:5" x14ac:dyDescent="0.35">
      <c r="A13" s="5"/>
      <c r="B13" s="43" t="s">
        <v>9</v>
      </c>
      <c r="C13" s="15" t="s">
        <v>7</v>
      </c>
      <c r="D13" s="7" t="s">
        <v>37</v>
      </c>
      <c r="E13" s="18" t="s">
        <v>10</v>
      </c>
    </row>
    <row r="14" spans="1:5" x14ac:dyDescent="0.35">
      <c r="A14" s="5"/>
      <c r="B14" s="6"/>
      <c r="C14" s="5"/>
      <c r="D14" s="7"/>
      <c r="E14" s="18"/>
    </row>
    <row r="15" spans="1:5" x14ac:dyDescent="0.35">
      <c r="A15" s="5"/>
      <c r="B15" s="33" t="s">
        <v>44</v>
      </c>
      <c r="C15" s="5"/>
      <c r="D15" s="7"/>
      <c r="E15" s="18"/>
    </row>
    <row r="16" spans="1:5" ht="217" x14ac:dyDescent="0.35">
      <c r="A16" s="5"/>
      <c r="B16" s="43" t="s">
        <v>43</v>
      </c>
      <c r="C16" s="5"/>
      <c r="D16" s="7"/>
      <c r="E16" s="18" t="s">
        <v>48</v>
      </c>
    </row>
    <row r="17" spans="1:5" x14ac:dyDescent="0.35">
      <c r="A17" s="5"/>
      <c r="B17" s="43" t="s">
        <v>6</v>
      </c>
      <c r="C17" s="15" t="s">
        <v>7</v>
      </c>
      <c r="D17" s="16">
        <v>32500</v>
      </c>
      <c r="E17" s="18"/>
    </row>
    <row r="18" spans="1:5" x14ac:dyDescent="0.35">
      <c r="A18" s="5"/>
      <c r="B18" s="43" t="s">
        <v>8</v>
      </c>
      <c r="C18" s="15" t="s">
        <v>7</v>
      </c>
      <c r="D18" s="16">
        <v>32500</v>
      </c>
      <c r="E18" s="18"/>
    </row>
    <row r="19" spans="1:5" x14ac:dyDescent="0.35">
      <c r="A19" s="5"/>
      <c r="B19" s="43" t="s">
        <v>9</v>
      </c>
      <c r="C19" s="15" t="s">
        <v>7</v>
      </c>
      <c r="D19" s="7" t="s">
        <v>37</v>
      </c>
      <c r="E19" s="18" t="s">
        <v>10</v>
      </c>
    </row>
    <row r="20" spans="1:5" x14ac:dyDescent="0.35">
      <c r="A20" s="5"/>
      <c r="B20" s="6"/>
      <c r="C20" s="5"/>
      <c r="D20" s="7"/>
      <c r="E20" s="18"/>
    </row>
    <row r="21" spans="1:5" x14ac:dyDescent="0.35">
      <c r="A21" s="5"/>
      <c r="B21" s="6"/>
      <c r="C21" s="5"/>
      <c r="D21" s="7"/>
      <c r="E21" s="18"/>
    </row>
    <row r="22" spans="1:5" x14ac:dyDescent="0.35">
      <c r="A22" s="5" t="s">
        <v>35</v>
      </c>
      <c r="B22" s="19" t="s">
        <v>13</v>
      </c>
      <c r="C22" s="5"/>
      <c r="D22" s="7"/>
      <c r="E22" s="18"/>
    </row>
    <row r="23" spans="1:5" ht="201.5" x14ac:dyDescent="0.35">
      <c r="A23" s="5"/>
      <c r="B23" s="8" t="s">
        <v>45</v>
      </c>
      <c r="C23" s="5"/>
      <c r="D23" s="7"/>
      <c r="E23" s="47" t="s">
        <v>39</v>
      </c>
    </row>
    <row r="24" spans="1:5" x14ac:dyDescent="0.35">
      <c r="A24" s="5"/>
      <c r="B24" s="6"/>
      <c r="C24" s="5"/>
      <c r="D24" s="7"/>
      <c r="E24" s="18"/>
    </row>
    <row r="25" spans="1:5" x14ac:dyDescent="0.35">
      <c r="A25" s="5">
        <v>1</v>
      </c>
      <c r="B25" s="6" t="s">
        <v>14</v>
      </c>
      <c r="C25" s="5" t="s">
        <v>15</v>
      </c>
      <c r="D25" s="20">
        <v>6</v>
      </c>
      <c r="E25" s="18" t="s">
        <v>17</v>
      </c>
    </row>
    <row r="26" spans="1:5" x14ac:dyDescent="0.35">
      <c r="A26" s="5">
        <f>A25+1</f>
        <v>2</v>
      </c>
      <c r="B26" s="6" t="s">
        <v>16</v>
      </c>
      <c r="C26" s="5" t="s">
        <v>15</v>
      </c>
      <c r="D26" s="7">
        <f>15*18</f>
        <v>270</v>
      </c>
      <c r="E26" s="18" t="s">
        <v>17</v>
      </c>
    </row>
    <row r="27" spans="1:5" x14ac:dyDescent="0.35">
      <c r="A27" s="5">
        <f t="shared" ref="A27:A35" si="0">A26+1</f>
        <v>3</v>
      </c>
      <c r="B27" s="6" t="s">
        <v>17</v>
      </c>
      <c r="C27" s="5" t="s">
        <v>15</v>
      </c>
      <c r="D27" s="7">
        <f>26*18</f>
        <v>468</v>
      </c>
      <c r="E27" s="18" t="s">
        <v>17</v>
      </c>
    </row>
    <row r="28" spans="1:5" x14ac:dyDescent="0.35">
      <c r="A28" s="5">
        <f t="shared" si="0"/>
        <v>4</v>
      </c>
      <c r="B28" s="6" t="s">
        <v>18</v>
      </c>
      <c r="C28" s="5" t="s">
        <v>15</v>
      </c>
      <c r="D28" s="7">
        <f>27*18</f>
        <v>486</v>
      </c>
      <c r="E28" s="18" t="s">
        <v>18</v>
      </c>
    </row>
    <row r="29" spans="1:5" x14ac:dyDescent="0.35">
      <c r="A29" s="5">
        <f t="shared" si="0"/>
        <v>5</v>
      </c>
      <c r="B29" s="6" t="s">
        <v>19</v>
      </c>
      <c r="C29" s="5" t="s">
        <v>15</v>
      </c>
      <c r="D29" s="7">
        <f>17*18</f>
        <v>306</v>
      </c>
      <c r="E29" s="18" t="s">
        <v>18</v>
      </c>
    </row>
    <row r="30" spans="1:5" x14ac:dyDescent="0.35">
      <c r="A30" s="5">
        <f t="shared" si="0"/>
        <v>6</v>
      </c>
      <c r="B30" s="6" t="s">
        <v>20</v>
      </c>
      <c r="C30" s="5" t="s">
        <v>15</v>
      </c>
      <c r="D30" s="7">
        <f>37*18</f>
        <v>666</v>
      </c>
      <c r="E30" s="18" t="s">
        <v>18</v>
      </c>
    </row>
    <row r="31" spans="1:5" x14ac:dyDescent="0.35">
      <c r="A31" s="5">
        <f t="shared" si="0"/>
        <v>7</v>
      </c>
      <c r="B31" s="6" t="s">
        <v>21</v>
      </c>
      <c r="C31" s="5" t="s">
        <v>15</v>
      </c>
      <c r="D31" s="7">
        <f>28*18</f>
        <v>504</v>
      </c>
      <c r="E31" s="18" t="s">
        <v>18</v>
      </c>
    </row>
    <row r="32" spans="1:5" x14ac:dyDescent="0.35">
      <c r="A32" s="5">
        <f t="shared" si="0"/>
        <v>8</v>
      </c>
      <c r="B32" s="6" t="s">
        <v>22</v>
      </c>
      <c r="C32" s="5" t="s">
        <v>15</v>
      </c>
      <c r="D32" s="7">
        <f>24*18</f>
        <v>432</v>
      </c>
      <c r="E32" s="18" t="s">
        <v>18</v>
      </c>
    </row>
    <row r="33" spans="1:5" x14ac:dyDescent="0.35">
      <c r="A33" s="5">
        <f t="shared" si="0"/>
        <v>9</v>
      </c>
      <c r="B33" s="6" t="s">
        <v>23</v>
      </c>
      <c r="C33" s="5" t="s">
        <v>15</v>
      </c>
      <c r="D33" s="7">
        <f>3*18</f>
        <v>54</v>
      </c>
      <c r="E33" s="18" t="s">
        <v>18</v>
      </c>
    </row>
    <row r="34" spans="1:5" x14ac:dyDescent="0.35">
      <c r="A34" s="5">
        <f t="shared" si="0"/>
        <v>10</v>
      </c>
      <c r="B34" s="6" t="s">
        <v>24</v>
      </c>
      <c r="C34" s="5" t="s">
        <v>15</v>
      </c>
      <c r="D34" s="20">
        <v>6</v>
      </c>
      <c r="E34" s="18" t="s">
        <v>18</v>
      </c>
    </row>
    <row r="35" spans="1:5" x14ac:dyDescent="0.35">
      <c r="A35" s="5">
        <f t="shared" si="0"/>
        <v>11</v>
      </c>
      <c r="B35" s="6" t="s">
        <v>25</v>
      </c>
      <c r="C35" s="5" t="s">
        <v>15</v>
      </c>
      <c r="D35" s="7">
        <f>1*18</f>
        <v>18</v>
      </c>
      <c r="E35" s="18" t="s">
        <v>18</v>
      </c>
    </row>
    <row r="36" spans="1:5" x14ac:dyDescent="0.35">
      <c r="E36" s="18"/>
    </row>
    <row r="37" spans="1:5" ht="31" x14ac:dyDescent="0.35">
      <c r="A37" s="23" t="s">
        <v>4</v>
      </c>
      <c r="B37" s="24" t="s">
        <v>26</v>
      </c>
      <c r="C37" s="25"/>
      <c r="D37" s="26"/>
      <c r="E37" s="47" t="s">
        <v>42</v>
      </c>
    </row>
    <row r="38" spans="1:5" x14ac:dyDescent="0.35">
      <c r="A38" s="27">
        <v>1</v>
      </c>
      <c r="B38" s="28" t="s">
        <v>32</v>
      </c>
      <c r="C38" s="5" t="s">
        <v>15</v>
      </c>
      <c r="D38" s="16">
        <v>30</v>
      </c>
      <c r="E38" s="28" t="s">
        <v>34</v>
      </c>
    </row>
    <row r="39" spans="1:5" x14ac:dyDescent="0.35">
      <c r="A39" s="5">
        <f t="shared" ref="A39:A44" si="1">A38+1</f>
        <v>2</v>
      </c>
      <c r="B39" s="28" t="s">
        <v>33</v>
      </c>
      <c r="C39" s="5" t="s">
        <v>15</v>
      </c>
      <c r="D39" s="16">
        <v>60</v>
      </c>
      <c r="E39" s="28" t="s">
        <v>34</v>
      </c>
    </row>
    <row r="40" spans="1:5" x14ac:dyDescent="0.35">
      <c r="A40" s="5">
        <f t="shared" si="1"/>
        <v>3</v>
      </c>
      <c r="B40" s="28" t="s">
        <v>27</v>
      </c>
      <c r="C40" s="5" t="s">
        <v>15</v>
      </c>
      <c r="D40" s="16">
        <v>280</v>
      </c>
      <c r="E40" s="28" t="s">
        <v>34</v>
      </c>
    </row>
    <row r="41" spans="1:5" x14ac:dyDescent="0.35">
      <c r="A41" s="5">
        <f t="shared" si="1"/>
        <v>4</v>
      </c>
      <c r="B41" s="28" t="s">
        <v>28</v>
      </c>
      <c r="C41" s="5" t="s">
        <v>15</v>
      </c>
      <c r="D41" s="16">
        <v>260</v>
      </c>
      <c r="E41" s="28" t="s">
        <v>34</v>
      </c>
    </row>
    <row r="42" spans="1:5" x14ac:dyDescent="0.35">
      <c r="A42" s="5">
        <f t="shared" si="1"/>
        <v>5</v>
      </c>
      <c r="B42" s="28" t="s">
        <v>29</v>
      </c>
      <c r="C42" s="5" t="s">
        <v>15</v>
      </c>
      <c r="D42" s="16">
        <v>120</v>
      </c>
      <c r="E42" s="28" t="s">
        <v>34</v>
      </c>
    </row>
    <row r="43" spans="1:5" x14ac:dyDescent="0.35">
      <c r="A43" s="5">
        <f t="shared" si="1"/>
        <v>6</v>
      </c>
      <c r="B43" s="28" t="s">
        <v>30</v>
      </c>
      <c r="C43" s="5" t="s">
        <v>15</v>
      </c>
      <c r="D43" s="16">
        <v>80</v>
      </c>
      <c r="E43" s="28" t="s">
        <v>34</v>
      </c>
    </row>
    <row r="44" spans="1:5" x14ac:dyDescent="0.35">
      <c r="A44" s="5">
        <f t="shared" si="1"/>
        <v>7</v>
      </c>
      <c r="B44" s="28" t="s">
        <v>31</v>
      </c>
      <c r="C44" s="5" t="s">
        <v>15</v>
      </c>
      <c r="D44" s="16">
        <v>150</v>
      </c>
      <c r="E44" s="28" t="s">
        <v>34</v>
      </c>
    </row>
    <row r="45" spans="1:5" x14ac:dyDescent="0.35">
      <c r="E45" s="6"/>
    </row>
    <row r="46" spans="1:5" ht="232.5" x14ac:dyDescent="0.35">
      <c r="A46" s="29" t="s">
        <v>36</v>
      </c>
      <c r="B46" s="34" t="s">
        <v>46</v>
      </c>
      <c r="C46" s="30"/>
      <c r="D46" s="45"/>
      <c r="E46" s="31" t="s">
        <v>47</v>
      </c>
    </row>
    <row r="47" spans="1:5" x14ac:dyDescent="0.35">
      <c r="A47" s="29">
        <v>1</v>
      </c>
      <c r="B47" s="28" t="s">
        <v>14</v>
      </c>
      <c r="C47" s="29" t="s">
        <v>15</v>
      </c>
      <c r="D47" s="46">
        <v>15</v>
      </c>
      <c r="E47" s="32" t="s">
        <v>20</v>
      </c>
    </row>
    <row r="48" spans="1:5" x14ac:dyDescent="0.35">
      <c r="A48" s="29">
        <v>2</v>
      </c>
      <c r="B48" s="28" t="s">
        <v>16</v>
      </c>
      <c r="C48" s="29" t="s">
        <v>15</v>
      </c>
      <c r="D48" s="46">
        <f>6*15</f>
        <v>90</v>
      </c>
      <c r="E48" s="32" t="s">
        <v>20</v>
      </c>
    </row>
    <row r="49" spans="1:5" x14ac:dyDescent="0.35">
      <c r="A49" s="29">
        <v>3</v>
      </c>
      <c r="B49" s="28" t="s">
        <v>17</v>
      </c>
      <c r="C49" s="29" t="s">
        <v>15</v>
      </c>
      <c r="D49" s="46">
        <f t="shared" ref="D49:D50" si="2">4*15</f>
        <v>60</v>
      </c>
      <c r="E49" s="32" t="s">
        <v>20</v>
      </c>
    </row>
    <row r="50" spans="1:5" x14ac:dyDescent="0.35">
      <c r="A50" s="29">
        <v>4</v>
      </c>
      <c r="B50" s="28" t="s">
        <v>18</v>
      </c>
      <c r="C50" s="29" t="s">
        <v>15</v>
      </c>
      <c r="D50" s="46">
        <f t="shared" si="2"/>
        <v>60</v>
      </c>
      <c r="E50" s="32" t="s">
        <v>20</v>
      </c>
    </row>
    <row r="51" spans="1:5" x14ac:dyDescent="0.35">
      <c r="A51" s="29">
        <v>5</v>
      </c>
      <c r="B51" s="28" t="s">
        <v>19</v>
      </c>
      <c r="C51" s="29" t="s">
        <v>15</v>
      </c>
      <c r="D51" s="46">
        <f>2*15</f>
        <v>30</v>
      </c>
      <c r="E51" s="32" t="s">
        <v>20</v>
      </c>
    </row>
    <row r="52" spans="1:5" x14ac:dyDescent="0.35">
      <c r="A52" s="29">
        <v>6</v>
      </c>
      <c r="B52" s="28" t="s">
        <v>20</v>
      </c>
      <c r="C52" s="29" t="s">
        <v>15</v>
      </c>
      <c r="D52" s="46">
        <v>15</v>
      </c>
      <c r="E52" s="32"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A9C91-C7EF-484B-8682-D29C7A8368E8}">
  <dimension ref="A1:F52"/>
  <sheetViews>
    <sheetView tabSelected="1" zoomScale="55" zoomScaleNormal="55" workbookViewId="0">
      <selection activeCell="B16" sqref="B16"/>
    </sheetView>
  </sheetViews>
  <sheetFormatPr defaultColWidth="9.1796875" defaultRowHeight="15.5" x14ac:dyDescent="0.35"/>
  <cols>
    <col min="1" max="1" width="9.1796875" style="21"/>
    <col min="2" max="2" width="174" style="22" customWidth="1"/>
    <col min="3" max="3" width="0" style="21" hidden="1" customWidth="1"/>
    <col min="4" max="4" width="10.7265625" style="21" hidden="1" customWidth="1"/>
    <col min="5" max="5" width="59.54296875" style="22" customWidth="1"/>
    <col min="6" max="6" width="43.7265625" style="41" customWidth="1"/>
    <col min="7" max="16384" width="9.1796875" style="41"/>
  </cols>
  <sheetData>
    <row r="1" spans="1:6" x14ac:dyDescent="0.35">
      <c r="A1" s="1" t="s">
        <v>0</v>
      </c>
      <c r="B1" s="48" t="s">
        <v>1</v>
      </c>
      <c r="C1" s="3" t="s">
        <v>2</v>
      </c>
      <c r="D1" s="4" t="s">
        <v>3</v>
      </c>
      <c r="E1" s="35" t="s">
        <v>49</v>
      </c>
      <c r="F1" s="2" t="s">
        <v>49</v>
      </c>
    </row>
    <row r="2" spans="1:6" x14ac:dyDescent="0.35">
      <c r="A2" s="5"/>
      <c r="B2" s="6"/>
      <c r="C2" s="5"/>
      <c r="D2" s="7"/>
      <c r="E2" s="36"/>
      <c r="F2" s="42"/>
    </row>
    <row r="3" spans="1:6" x14ac:dyDescent="0.35">
      <c r="A3" s="9" t="s">
        <v>12</v>
      </c>
      <c r="B3" s="49" t="s">
        <v>5</v>
      </c>
      <c r="C3" s="11"/>
      <c r="D3" s="12"/>
      <c r="E3" s="36"/>
      <c r="F3" s="42"/>
    </row>
    <row r="4" spans="1:6" ht="93" x14ac:dyDescent="0.35">
      <c r="A4" s="13">
        <v>1</v>
      </c>
      <c r="B4" s="50" t="s">
        <v>50</v>
      </c>
      <c r="C4" s="15"/>
      <c r="D4" s="16"/>
      <c r="E4" s="44" t="s">
        <v>41</v>
      </c>
      <c r="F4" s="42"/>
    </row>
    <row r="5" spans="1:6" x14ac:dyDescent="0.35">
      <c r="A5" s="17">
        <v>1.1000000000000001</v>
      </c>
      <c r="B5" s="50" t="s">
        <v>6</v>
      </c>
      <c r="C5" s="15" t="s">
        <v>7</v>
      </c>
      <c r="D5" s="16">
        <v>32500</v>
      </c>
      <c r="E5" s="37"/>
      <c r="F5" s="42"/>
    </row>
    <row r="6" spans="1:6" x14ac:dyDescent="0.35">
      <c r="A6" s="17">
        <v>1.2</v>
      </c>
      <c r="B6" s="50" t="s">
        <v>8</v>
      </c>
      <c r="C6" s="15" t="s">
        <v>7</v>
      </c>
      <c r="D6" s="16">
        <v>32500</v>
      </c>
      <c r="E6" s="37"/>
      <c r="F6" s="42"/>
    </row>
    <row r="7" spans="1:6" x14ac:dyDescent="0.35">
      <c r="A7" s="17">
        <v>1.3</v>
      </c>
      <c r="B7" s="50" t="s">
        <v>9</v>
      </c>
      <c r="C7" s="15" t="s">
        <v>7</v>
      </c>
      <c r="D7" s="16">
        <v>0</v>
      </c>
      <c r="E7" s="37" t="s">
        <v>10</v>
      </c>
      <c r="F7" s="42"/>
    </row>
    <row r="8" spans="1:6" x14ac:dyDescent="0.35">
      <c r="A8" s="5"/>
      <c r="B8" s="6"/>
      <c r="C8" s="5"/>
      <c r="D8" s="7"/>
      <c r="E8" s="37"/>
      <c r="F8" s="42"/>
    </row>
    <row r="9" spans="1:6" x14ac:dyDescent="0.35">
      <c r="A9" s="5"/>
      <c r="B9" s="33" t="s">
        <v>38</v>
      </c>
      <c r="C9" s="5"/>
      <c r="D9" s="7"/>
      <c r="E9" s="37"/>
      <c r="F9" s="42"/>
    </row>
    <row r="10" spans="1:6" ht="108.5" x14ac:dyDescent="0.35">
      <c r="A10" s="5"/>
      <c r="B10" s="50" t="s">
        <v>51</v>
      </c>
      <c r="C10" s="5"/>
      <c r="D10" s="7"/>
      <c r="E10" s="44" t="s">
        <v>40</v>
      </c>
      <c r="F10" s="42"/>
    </row>
    <row r="11" spans="1:6" x14ac:dyDescent="0.35">
      <c r="A11" s="5"/>
      <c r="B11" s="50" t="s">
        <v>6</v>
      </c>
      <c r="C11" s="15" t="s">
        <v>7</v>
      </c>
      <c r="D11" s="16">
        <v>32500</v>
      </c>
      <c r="E11" s="37"/>
      <c r="F11" s="42"/>
    </row>
    <row r="12" spans="1:6" x14ac:dyDescent="0.35">
      <c r="A12" s="5"/>
      <c r="B12" s="50" t="s">
        <v>8</v>
      </c>
      <c r="C12" s="15" t="s">
        <v>7</v>
      </c>
      <c r="D12" s="16">
        <v>32500</v>
      </c>
      <c r="E12" s="37"/>
      <c r="F12" s="42"/>
    </row>
    <row r="13" spans="1:6" x14ac:dyDescent="0.35">
      <c r="A13" s="5"/>
      <c r="B13" s="50" t="s">
        <v>9</v>
      </c>
      <c r="C13" s="15" t="s">
        <v>7</v>
      </c>
      <c r="D13" s="7" t="s">
        <v>37</v>
      </c>
      <c r="E13" s="37" t="s">
        <v>10</v>
      </c>
      <c r="F13" s="42"/>
    </row>
    <row r="14" spans="1:6" x14ac:dyDescent="0.35">
      <c r="A14" s="5"/>
      <c r="B14" s="6"/>
      <c r="C14" s="5"/>
      <c r="D14" s="7"/>
      <c r="E14" s="37"/>
      <c r="F14" s="42"/>
    </row>
    <row r="15" spans="1:6" x14ac:dyDescent="0.35">
      <c r="A15" s="5"/>
      <c r="B15" s="33" t="s">
        <v>44</v>
      </c>
      <c r="C15" s="5"/>
      <c r="D15" s="7"/>
      <c r="E15" s="37"/>
      <c r="F15" s="42"/>
    </row>
    <row r="16" spans="1:6" ht="228" customHeight="1" x14ac:dyDescent="0.35">
      <c r="A16" s="5"/>
      <c r="B16" s="50" t="s">
        <v>43</v>
      </c>
      <c r="C16" s="5"/>
      <c r="D16" s="7"/>
      <c r="E16" s="37" t="s">
        <v>48</v>
      </c>
      <c r="F16" s="42"/>
    </row>
    <row r="17" spans="1:6" x14ac:dyDescent="0.35">
      <c r="A17" s="5"/>
      <c r="B17" s="50" t="s">
        <v>6</v>
      </c>
      <c r="C17" s="15" t="s">
        <v>7</v>
      </c>
      <c r="D17" s="16">
        <v>32500</v>
      </c>
      <c r="E17" s="37"/>
      <c r="F17" s="42"/>
    </row>
    <row r="18" spans="1:6" x14ac:dyDescent="0.35">
      <c r="A18" s="5"/>
      <c r="B18" s="50" t="s">
        <v>8</v>
      </c>
      <c r="C18" s="15" t="s">
        <v>7</v>
      </c>
      <c r="D18" s="16">
        <v>32500</v>
      </c>
      <c r="E18" s="37"/>
      <c r="F18" s="42"/>
    </row>
    <row r="19" spans="1:6" x14ac:dyDescent="0.35">
      <c r="A19" s="5"/>
      <c r="B19" s="50" t="s">
        <v>9</v>
      </c>
      <c r="C19" s="15" t="s">
        <v>7</v>
      </c>
      <c r="D19" s="7" t="s">
        <v>37</v>
      </c>
      <c r="E19" s="37" t="s">
        <v>10</v>
      </c>
      <c r="F19" s="42"/>
    </row>
    <row r="20" spans="1:6" x14ac:dyDescent="0.35">
      <c r="A20" s="5"/>
      <c r="B20" s="6"/>
      <c r="C20" s="5"/>
      <c r="D20" s="7"/>
      <c r="E20" s="37"/>
      <c r="F20" s="42"/>
    </row>
    <row r="21" spans="1:6" x14ac:dyDescent="0.35">
      <c r="A21" s="5"/>
      <c r="B21" s="6"/>
      <c r="C21" s="5"/>
      <c r="D21" s="7"/>
      <c r="E21" s="37"/>
      <c r="F21" s="42"/>
    </row>
    <row r="22" spans="1:6" x14ac:dyDescent="0.35">
      <c r="A22" s="5" t="s">
        <v>35</v>
      </c>
      <c r="B22" s="19" t="s">
        <v>13</v>
      </c>
      <c r="C22" s="5"/>
      <c r="D22" s="7"/>
      <c r="E22" s="37"/>
      <c r="F22" s="42"/>
    </row>
    <row r="23" spans="1:6" ht="186" x14ac:dyDescent="0.35">
      <c r="A23" s="5"/>
      <c r="B23" s="8" t="s">
        <v>45</v>
      </c>
      <c r="C23" s="5"/>
      <c r="D23" s="7"/>
      <c r="E23" s="44" t="s">
        <v>39</v>
      </c>
      <c r="F23" s="42"/>
    </row>
    <row r="24" spans="1:6" x14ac:dyDescent="0.35">
      <c r="A24" s="5"/>
      <c r="B24" s="6"/>
      <c r="C24" s="5"/>
      <c r="D24" s="7"/>
      <c r="E24" s="37"/>
      <c r="F24" s="42"/>
    </row>
    <row r="25" spans="1:6" x14ac:dyDescent="0.35">
      <c r="A25" s="5">
        <v>1</v>
      </c>
      <c r="B25" s="6" t="s">
        <v>14</v>
      </c>
      <c r="C25" s="5" t="s">
        <v>15</v>
      </c>
      <c r="D25" s="20">
        <v>6</v>
      </c>
      <c r="E25" s="37" t="s">
        <v>17</v>
      </c>
      <c r="F25" s="42"/>
    </row>
    <row r="26" spans="1:6" x14ac:dyDescent="0.35">
      <c r="A26" s="5">
        <f>A25+1</f>
        <v>2</v>
      </c>
      <c r="B26" s="6" t="s">
        <v>16</v>
      </c>
      <c r="C26" s="5" t="s">
        <v>15</v>
      </c>
      <c r="D26" s="7">
        <f>15*18</f>
        <v>270</v>
      </c>
      <c r="E26" s="37" t="s">
        <v>17</v>
      </c>
      <c r="F26" s="42"/>
    </row>
    <row r="27" spans="1:6" x14ac:dyDescent="0.35">
      <c r="A27" s="5">
        <f t="shared" ref="A27:A35" si="0">A26+1</f>
        <v>3</v>
      </c>
      <c r="B27" s="6" t="s">
        <v>17</v>
      </c>
      <c r="C27" s="5" t="s">
        <v>15</v>
      </c>
      <c r="D27" s="7">
        <f>26*18</f>
        <v>468</v>
      </c>
      <c r="E27" s="37" t="s">
        <v>17</v>
      </c>
      <c r="F27" s="42"/>
    </row>
    <row r="28" spans="1:6" x14ac:dyDescent="0.35">
      <c r="A28" s="5">
        <f t="shared" si="0"/>
        <v>4</v>
      </c>
      <c r="B28" s="6" t="s">
        <v>18</v>
      </c>
      <c r="C28" s="5" t="s">
        <v>15</v>
      </c>
      <c r="D28" s="7">
        <f>27*18</f>
        <v>486</v>
      </c>
      <c r="E28" s="37" t="s">
        <v>18</v>
      </c>
      <c r="F28" s="42"/>
    </row>
    <row r="29" spans="1:6" x14ac:dyDescent="0.35">
      <c r="A29" s="5">
        <f t="shared" si="0"/>
        <v>5</v>
      </c>
      <c r="B29" s="6" t="s">
        <v>19</v>
      </c>
      <c r="C29" s="5" t="s">
        <v>15</v>
      </c>
      <c r="D29" s="7">
        <f>17*18</f>
        <v>306</v>
      </c>
      <c r="E29" s="37" t="s">
        <v>18</v>
      </c>
      <c r="F29" s="42"/>
    </row>
    <row r="30" spans="1:6" x14ac:dyDescent="0.35">
      <c r="A30" s="5">
        <f t="shared" si="0"/>
        <v>6</v>
      </c>
      <c r="B30" s="6" t="s">
        <v>20</v>
      </c>
      <c r="C30" s="5" t="s">
        <v>15</v>
      </c>
      <c r="D30" s="7">
        <f>37*18</f>
        <v>666</v>
      </c>
      <c r="E30" s="37" t="s">
        <v>18</v>
      </c>
      <c r="F30" s="42"/>
    </row>
    <row r="31" spans="1:6" x14ac:dyDescent="0.35">
      <c r="A31" s="5">
        <f t="shared" si="0"/>
        <v>7</v>
      </c>
      <c r="B31" s="6" t="s">
        <v>21</v>
      </c>
      <c r="C31" s="5" t="s">
        <v>15</v>
      </c>
      <c r="D31" s="7">
        <f>28*18</f>
        <v>504</v>
      </c>
      <c r="E31" s="37" t="s">
        <v>18</v>
      </c>
      <c r="F31" s="42"/>
    </row>
    <row r="32" spans="1:6" x14ac:dyDescent="0.35">
      <c r="A32" s="5">
        <f t="shared" si="0"/>
        <v>8</v>
      </c>
      <c r="B32" s="6" t="s">
        <v>22</v>
      </c>
      <c r="C32" s="5" t="s">
        <v>15</v>
      </c>
      <c r="D32" s="7">
        <f>24*18</f>
        <v>432</v>
      </c>
      <c r="E32" s="37" t="s">
        <v>18</v>
      </c>
      <c r="F32" s="42"/>
    </row>
    <row r="33" spans="1:6" x14ac:dyDescent="0.35">
      <c r="A33" s="5">
        <f t="shared" si="0"/>
        <v>9</v>
      </c>
      <c r="B33" s="6" t="s">
        <v>23</v>
      </c>
      <c r="C33" s="5" t="s">
        <v>15</v>
      </c>
      <c r="D33" s="7">
        <f>3*18</f>
        <v>54</v>
      </c>
      <c r="E33" s="37" t="s">
        <v>18</v>
      </c>
      <c r="F33" s="42"/>
    </row>
    <row r="34" spans="1:6" x14ac:dyDescent="0.35">
      <c r="A34" s="5">
        <f t="shared" si="0"/>
        <v>10</v>
      </c>
      <c r="B34" s="6" t="s">
        <v>24</v>
      </c>
      <c r="C34" s="5" t="s">
        <v>15</v>
      </c>
      <c r="D34" s="20">
        <v>6</v>
      </c>
      <c r="E34" s="37" t="s">
        <v>18</v>
      </c>
      <c r="F34" s="42"/>
    </row>
    <row r="35" spans="1:6" x14ac:dyDescent="0.35">
      <c r="A35" s="5">
        <f t="shared" si="0"/>
        <v>11</v>
      </c>
      <c r="B35" s="6" t="s">
        <v>25</v>
      </c>
      <c r="C35" s="5" t="s">
        <v>15</v>
      </c>
      <c r="D35" s="7">
        <f>1*18</f>
        <v>18</v>
      </c>
      <c r="E35" s="37" t="s">
        <v>18</v>
      </c>
      <c r="F35" s="42"/>
    </row>
    <row r="36" spans="1:6" x14ac:dyDescent="0.35">
      <c r="E36" s="37"/>
      <c r="F36" s="42"/>
    </row>
    <row r="37" spans="1:6" ht="31" x14ac:dyDescent="0.35">
      <c r="A37" s="23" t="s">
        <v>4</v>
      </c>
      <c r="B37" s="51" t="s">
        <v>26</v>
      </c>
      <c r="C37" s="25"/>
      <c r="D37" s="26"/>
      <c r="E37" s="44" t="s">
        <v>42</v>
      </c>
      <c r="F37" s="42"/>
    </row>
    <row r="38" spans="1:6" x14ac:dyDescent="0.35">
      <c r="A38" s="27">
        <v>1</v>
      </c>
      <c r="B38" s="52" t="s">
        <v>32</v>
      </c>
      <c r="C38" s="5" t="s">
        <v>15</v>
      </c>
      <c r="D38" s="16">
        <v>30</v>
      </c>
      <c r="E38" s="38" t="s">
        <v>34</v>
      </c>
      <c r="F38" s="42"/>
    </row>
    <row r="39" spans="1:6" x14ac:dyDescent="0.35">
      <c r="A39" s="5">
        <f t="shared" ref="A39:A44" si="1">A38+1</f>
        <v>2</v>
      </c>
      <c r="B39" s="52" t="s">
        <v>33</v>
      </c>
      <c r="C39" s="5" t="s">
        <v>15</v>
      </c>
      <c r="D39" s="16">
        <v>60</v>
      </c>
      <c r="E39" s="38" t="s">
        <v>34</v>
      </c>
      <c r="F39" s="42"/>
    </row>
    <row r="40" spans="1:6" x14ac:dyDescent="0.35">
      <c r="A40" s="5">
        <f t="shared" si="1"/>
        <v>3</v>
      </c>
      <c r="B40" s="52" t="s">
        <v>27</v>
      </c>
      <c r="C40" s="5" t="s">
        <v>15</v>
      </c>
      <c r="D40" s="16">
        <v>280</v>
      </c>
      <c r="E40" s="38" t="s">
        <v>34</v>
      </c>
      <c r="F40" s="42"/>
    </row>
    <row r="41" spans="1:6" x14ac:dyDescent="0.35">
      <c r="A41" s="5">
        <f t="shared" si="1"/>
        <v>4</v>
      </c>
      <c r="B41" s="52" t="s">
        <v>28</v>
      </c>
      <c r="C41" s="5" t="s">
        <v>15</v>
      </c>
      <c r="D41" s="16">
        <v>260</v>
      </c>
      <c r="E41" s="38" t="s">
        <v>34</v>
      </c>
      <c r="F41" s="42"/>
    </row>
    <row r="42" spans="1:6" x14ac:dyDescent="0.35">
      <c r="A42" s="5">
        <f t="shared" si="1"/>
        <v>5</v>
      </c>
      <c r="B42" s="52" t="s">
        <v>29</v>
      </c>
      <c r="C42" s="5" t="s">
        <v>15</v>
      </c>
      <c r="D42" s="16">
        <v>120</v>
      </c>
      <c r="E42" s="38" t="s">
        <v>34</v>
      </c>
      <c r="F42" s="42"/>
    </row>
    <row r="43" spans="1:6" x14ac:dyDescent="0.35">
      <c r="A43" s="5">
        <f t="shared" si="1"/>
        <v>6</v>
      </c>
      <c r="B43" s="52" t="s">
        <v>30</v>
      </c>
      <c r="C43" s="5" t="s">
        <v>15</v>
      </c>
      <c r="D43" s="16">
        <v>80</v>
      </c>
      <c r="E43" s="38" t="s">
        <v>34</v>
      </c>
      <c r="F43" s="42"/>
    </row>
    <row r="44" spans="1:6" x14ac:dyDescent="0.35">
      <c r="A44" s="5">
        <f t="shared" si="1"/>
        <v>7</v>
      </c>
      <c r="B44" s="52" t="s">
        <v>31</v>
      </c>
      <c r="C44" s="5" t="s">
        <v>15</v>
      </c>
      <c r="D44" s="16">
        <v>150</v>
      </c>
      <c r="E44" s="38" t="s">
        <v>34</v>
      </c>
      <c r="F44" s="42"/>
    </row>
    <row r="45" spans="1:6" x14ac:dyDescent="0.35">
      <c r="F45" s="42"/>
    </row>
    <row r="46" spans="1:6" ht="217" x14ac:dyDescent="0.35">
      <c r="A46" s="29" t="s">
        <v>36</v>
      </c>
      <c r="B46" s="53" t="s">
        <v>46</v>
      </c>
      <c r="C46" s="30"/>
      <c r="D46" s="30"/>
      <c r="E46" s="39" t="s">
        <v>47</v>
      </c>
      <c r="F46" s="42"/>
    </row>
    <row r="47" spans="1:6" x14ac:dyDescent="0.35">
      <c r="A47" s="29">
        <v>1</v>
      </c>
      <c r="B47" s="52" t="s">
        <v>14</v>
      </c>
      <c r="C47" s="29" t="s">
        <v>15</v>
      </c>
      <c r="D47" s="29">
        <v>15</v>
      </c>
      <c r="E47" s="40" t="s">
        <v>20</v>
      </c>
      <c r="F47" s="42"/>
    </row>
    <row r="48" spans="1:6" x14ac:dyDescent="0.35">
      <c r="A48" s="29">
        <v>2</v>
      </c>
      <c r="B48" s="52" t="s">
        <v>16</v>
      </c>
      <c r="C48" s="29" t="s">
        <v>15</v>
      </c>
      <c r="D48" s="29">
        <f>6*15</f>
        <v>90</v>
      </c>
      <c r="E48" s="40" t="s">
        <v>20</v>
      </c>
      <c r="F48" s="42"/>
    </row>
    <row r="49" spans="1:6" x14ac:dyDescent="0.35">
      <c r="A49" s="29">
        <v>3</v>
      </c>
      <c r="B49" s="52" t="s">
        <v>17</v>
      </c>
      <c r="C49" s="29" t="s">
        <v>15</v>
      </c>
      <c r="D49" s="29">
        <f t="shared" ref="D49:D50" si="2">4*15</f>
        <v>60</v>
      </c>
      <c r="E49" s="40" t="s">
        <v>20</v>
      </c>
      <c r="F49" s="42"/>
    </row>
    <row r="50" spans="1:6" x14ac:dyDescent="0.35">
      <c r="A50" s="29">
        <v>4</v>
      </c>
      <c r="B50" s="52" t="s">
        <v>18</v>
      </c>
      <c r="C50" s="29" t="s">
        <v>15</v>
      </c>
      <c r="D50" s="29">
        <f t="shared" si="2"/>
        <v>60</v>
      </c>
      <c r="E50" s="40" t="s">
        <v>20</v>
      </c>
      <c r="F50" s="42"/>
    </row>
    <row r="51" spans="1:6" x14ac:dyDescent="0.35">
      <c r="A51" s="29">
        <v>5</v>
      </c>
      <c r="B51" s="52" t="s">
        <v>19</v>
      </c>
      <c r="C51" s="29" t="s">
        <v>15</v>
      </c>
      <c r="D51" s="29">
        <f>2*15</f>
        <v>30</v>
      </c>
      <c r="E51" s="40" t="s">
        <v>20</v>
      </c>
      <c r="F51" s="42"/>
    </row>
    <row r="52" spans="1:6" x14ac:dyDescent="0.35">
      <c r="A52" s="29">
        <v>6</v>
      </c>
      <c r="B52" s="52" t="s">
        <v>20</v>
      </c>
      <c r="C52" s="29" t="s">
        <v>15</v>
      </c>
      <c r="D52" s="29">
        <v>15</v>
      </c>
      <c r="E52" s="40" t="s">
        <v>20</v>
      </c>
      <c r="F52" s="4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BOQ</vt:lpstr>
      <vt:lpstr>COMPLIANCE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Kathiriya</dc:creator>
  <cp:lastModifiedBy>admin</cp:lastModifiedBy>
  <dcterms:created xsi:type="dcterms:W3CDTF">2026-02-23T05:12:37Z</dcterms:created>
  <dcterms:modified xsi:type="dcterms:W3CDTF">2026-05-20T06:47:33Z</dcterms:modified>
</cp:coreProperties>
</file>